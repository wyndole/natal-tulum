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a Latina" sheetId="1" r:id="rId5"/>
    <sheet state="visible" name="Casa Easter" sheetId="2" r:id="rId6"/>
    <sheet state="visible" name="Caribbean House" sheetId="3" r:id="rId7"/>
  </sheets>
  <definedNames/>
  <calcPr/>
</workbook>
</file>

<file path=xl/sharedStrings.xml><?xml version="1.0" encoding="utf-8"?>
<sst xmlns="http://schemas.openxmlformats.org/spreadsheetml/2006/main" count="30" uniqueCount="20">
  <si>
    <t>Item</t>
  </si>
  <si>
    <t>MX</t>
  </si>
  <si>
    <t>USD</t>
  </si>
  <si>
    <t>Comments</t>
  </si>
  <si>
    <t>Pesos to Dollars</t>
  </si>
  <si>
    <t>Rangel Sofa bed</t>
  </si>
  <si>
    <t>on sale</t>
  </si>
  <si>
    <t>Mesa Comidor practico</t>
  </si>
  <si>
    <t>Base de cama</t>
  </si>
  <si>
    <t>no matress</t>
  </si>
  <si>
    <t>Mesa de centro nido</t>
  </si>
  <si>
    <t>TV stand w/ drawers/no extension</t>
  </si>
  <si>
    <t>Porta TV akumal</t>
  </si>
  <si>
    <t>Venice outdoor set</t>
  </si>
  <si>
    <t>table and 4 chairs</t>
  </si>
  <si>
    <t>TOTAL</t>
  </si>
  <si>
    <t>Mesa shaked carbon</t>
  </si>
  <si>
    <t>outside table</t>
  </si>
  <si>
    <t>Comidor</t>
  </si>
  <si>
    <t>glass rectangle w/ 4 chairs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</si>
</sst>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theme="1"/>
      <name val="Arial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2" fillId="2" fontId="2" numFmtId="0" xfId="0" applyAlignment="1" applyBorder="1" applyFont="1">
      <alignment horizontal="left" readingOrder="0" shrinkToFit="0" vertical="center" wrapText="0"/>
    </xf>
    <xf borderId="3" fillId="2" fontId="2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horizontal="right" vertical="bottom"/>
    </xf>
    <xf borderId="4" fillId="3" fontId="4" numFmtId="0" xfId="0" applyAlignment="1" applyBorder="1" applyFill="1" applyFont="1">
      <alignment readingOrder="0" shrinkToFit="0" vertical="center" wrapText="0"/>
    </xf>
    <xf borderId="5" fillId="3" fontId="4" numFmtId="0" xfId="0" applyAlignment="1" applyBorder="1" applyFont="1">
      <alignment horizontal="right" readingOrder="0" shrinkToFit="0" vertical="center" wrapText="0"/>
    </xf>
    <xf borderId="5" fillId="3" fontId="4" numFmtId="164" xfId="0" applyAlignment="1" applyBorder="1" applyFont="1" applyNumberFormat="1">
      <alignment horizontal="right" shrinkToFit="0" vertical="center" wrapText="0"/>
    </xf>
    <xf borderId="5" fillId="3" fontId="4" numFmtId="0" xfId="0" applyAlignment="1" applyBorder="1" applyFont="1">
      <alignment readingOrder="0" shrinkToFit="0" vertical="center" wrapText="0"/>
    </xf>
    <xf borderId="6" fillId="3" fontId="3" numFmtId="0" xfId="0" applyAlignment="1" applyBorder="1" applyFont="1">
      <alignment shrinkToFit="0" vertical="center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Casa La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sa Ea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ribbean Hous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Table1" name="Table1" id="1">
  <tableColumns count="5">
    <tableColumn name="Item" id="1"/>
    <tableColumn name="MX" id="2"/>
    <tableColumn name="USD" id="3"/>
    <tableColumn name="Comments" id="4"/>
    <tableColumn name="Pesos to Dollars" id="5"/>
  </tableColumns>
  <tableStyleInfo name="Casa Latina-style" showColumnStripes="0" showFirstColumn="1" showLastColumn="1" showRowStripes="1"/>
</table>
</file>

<file path=xl/tables/table2.xml><?xml version="1.0" encoding="utf-8"?>
<table xmlns="http://schemas.openxmlformats.org/spreadsheetml/2006/main" ref="A1:E2" displayName="Table2" name="Table2" id="2">
  <tableColumns count="5">
    <tableColumn name="Item" id="1"/>
    <tableColumn name="MX" id="2"/>
    <tableColumn name="USD" id="3"/>
    <tableColumn name="Comments" id="4"/>
    <tableColumn name="Pesos to Dollars" id="5"/>
  </tableColumns>
  <tableStyleInfo name="Casa Easter-style" showColumnStripes="0" showFirstColumn="1" showLastColumn="1" showRowStripes="1"/>
</table>
</file>

<file path=xl/tables/table3.xml><?xml version="1.0" encoding="utf-8"?>
<table xmlns="http://schemas.openxmlformats.org/spreadsheetml/2006/main" ref="A1:E2" displayName="Table3" name="Table3" id="3">
  <tableColumns count="5">
    <tableColumn name="Item" id="1"/>
    <tableColumn name="MX" id="2"/>
    <tableColumn name="USD" id="3"/>
    <tableColumn name="Comments" id="4"/>
    <tableColumn name="Pesos to Dollars" id="5"/>
  </tableColumns>
  <tableStyleInfo name="Caribbean Hou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75"/>
    <col customWidth="1" min="4" max="4" width="15.38"/>
    <col customWidth="1" min="5" max="5" width="1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f>IFERROR(__xludf.DUMMYFUNCTION("GOOGLEFINANCE(""CURRENCY:MXNUSD"")"),0.05703449)</f>
        <v>0.05703449</v>
      </c>
    </row>
    <row r="2" ht="22.5" customHeight="1">
      <c r="A2" s="3" t="s">
        <v>5</v>
      </c>
      <c r="B2" s="4">
        <v>29032.0</v>
      </c>
      <c r="C2" s="5">
        <f t="shared" ref="C2:C8" si="1">B2*$F$1</f>
        <v>1655.825314</v>
      </c>
      <c r="D2" s="3" t="s">
        <v>6</v>
      </c>
    </row>
    <row r="3" ht="22.5" customHeight="1">
      <c r="A3" s="3" t="s">
        <v>7</v>
      </c>
      <c r="B3" s="4">
        <v>15192.0</v>
      </c>
      <c r="C3" s="5">
        <f t="shared" si="1"/>
        <v>866.4679721</v>
      </c>
    </row>
    <row r="4" ht="22.5" customHeight="1">
      <c r="A4" s="3" t="s">
        <v>8</v>
      </c>
      <c r="B4" s="4">
        <v>20080.0</v>
      </c>
      <c r="C4" s="5">
        <f t="shared" si="1"/>
        <v>1145.252559</v>
      </c>
      <c r="D4" s="3" t="s">
        <v>9</v>
      </c>
    </row>
    <row r="5" ht="22.5" customHeight="1">
      <c r="A5" s="3" t="s">
        <v>10</v>
      </c>
      <c r="B5" s="4">
        <v>19992.0</v>
      </c>
      <c r="C5" s="5">
        <f t="shared" si="1"/>
        <v>1140.233524</v>
      </c>
    </row>
    <row r="6" ht="22.5" customHeight="1">
      <c r="A6" s="3" t="s">
        <v>11</v>
      </c>
      <c r="B6" s="4">
        <v>16498.0</v>
      </c>
      <c r="C6" s="5">
        <f t="shared" si="1"/>
        <v>940.955016</v>
      </c>
    </row>
    <row r="7" ht="22.5" customHeight="1">
      <c r="A7" s="3" t="s">
        <v>12</v>
      </c>
      <c r="B7" s="4">
        <v>22098.0</v>
      </c>
      <c r="C7" s="5">
        <f t="shared" si="1"/>
        <v>1260.34816</v>
      </c>
    </row>
    <row r="8" ht="22.5" customHeight="1">
      <c r="A8" s="3" t="s">
        <v>13</v>
      </c>
      <c r="B8" s="4">
        <v>28507.0</v>
      </c>
      <c r="C8" s="5">
        <f t="shared" si="1"/>
        <v>1625.882206</v>
      </c>
      <c r="D8" s="3" t="s">
        <v>14</v>
      </c>
    </row>
    <row r="9" ht="22.5" customHeight="1">
      <c r="B9" s="6"/>
      <c r="C9" s="5"/>
    </row>
    <row r="10" ht="22.5" customHeight="1">
      <c r="B10" s="6"/>
      <c r="C10" s="5"/>
    </row>
    <row r="11" ht="22.5" customHeight="1">
      <c r="B11" s="6"/>
      <c r="C11" s="5"/>
    </row>
    <row r="12" ht="22.5" customHeight="1">
      <c r="B12" s="6"/>
      <c r="C12" s="5"/>
    </row>
    <row r="13" ht="22.5" customHeight="1">
      <c r="A13" s="3" t="s">
        <v>15</v>
      </c>
      <c r="B13" s="6">
        <f>SUM(B2:B8)</f>
        <v>151399</v>
      </c>
      <c r="C13" s="5">
        <f>B13*$F$1</f>
        <v>8634.964752</v>
      </c>
    </row>
  </sheetData>
  <dataValidations>
    <dataValidation type="custom" allowBlank="1" showDropDown="1" sqref="B2:C1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f>IFERROR(__xludf.DUMMYFUNCTION("GOOGLEFINANCE(""CURRENCY:MXNUSD"")"),0.05703449)</f>
        <v>0.05703449</v>
      </c>
    </row>
    <row r="2" ht="22.5" customHeight="1">
      <c r="A2" s="3" t="s">
        <v>16</v>
      </c>
      <c r="B2" s="4">
        <v>3890.0</v>
      </c>
      <c r="C2" s="5">
        <f>B2*$F$1</f>
        <v>221.8641661</v>
      </c>
      <c r="D2" s="3" t="s">
        <v>17</v>
      </c>
    </row>
  </sheetData>
  <dataValidations>
    <dataValidation type="custom" allowBlank="1" showDropDown="1" sqref="B2:C2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>
        <f>IFERROR(__xludf.DUMMYFUNCTION("GOOGLEFINANCE(""CURRENCY:MXNUSD"")"),0.05703449)</f>
        <v>0.05703449</v>
      </c>
    </row>
    <row r="2" ht="22.5" customHeight="1">
      <c r="A2" s="11" t="s">
        <v>18</v>
      </c>
      <c r="B2" s="12">
        <v>7600.0</v>
      </c>
      <c r="C2" s="13">
        <f>B2*$F$1</f>
        <v>433.462124</v>
      </c>
      <c r="D2" s="14" t="s">
        <v>19</v>
      </c>
      <c r="E2" s="15"/>
      <c r="F2" s="16"/>
    </row>
  </sheetData>
  <dataValidations>
    <dataValidation type="custom" allowBlank="1" showDropDown="1" sqref="B2:C2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